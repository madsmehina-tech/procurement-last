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إرشادات" sheetId="1" state="visible" r:id="rId1"/>
    <sheet xmlns:r="http://schemas.openxmlformats.org/officeDocument/2006/relationships" name="مقارنة الأرقام" sheetId="2" state="visible" r:id="rId2"/>
    <sheet xmlns:r="http://schemas.openxmlformats.org/officeDocument/2006/relationships" name="سجل الفروقات" sheetId="3" state="visible" r:id="rId3"/>
    <sheet xmlns:r="http://schemas.openxmlformats.org/officeDocument/2006/relationships" name="قرار الأسبو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8">
    <font>
      <name val="Calibri"/>
      <family val="2"/>
      <color theme="1"/>
      <sz val="11"/>
      <scheme val="minor"/>
    </font>
    <font>
      <name val="Tahoma"/>
      <b val="1"/>
      <color rgb="0029595E"/>
      <sz val="14"/>
    </font>
    <font>
      <name val="Tahoma"/>
      <color rgb="00000000"/>
      <sz val="11"/>
    </font>
    <font>
      <name val="Tahoma"/>
      <b val="1"/>
      <sz val="11"/>
    </font>
    <font>
      <name val="Tahoma"/>
      <b val="1"/>
      <color rgb="00FFFFFF"/>
      <sz val="11"/>
    </font>
    <font>
      <name val="Tahoma"/>
      <b val="1"/>
      <color rgb="0029595E"/>
      <sz val="11"/>
    </font>
    <font>
      <name val="Tahoma"/>
      <sz val="11"/>
    </font>
    <font>
      <name val="Tahoma"/>
      <b val="1"/>
    </font>
  </fonts>
  <fills count="5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29595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5DCE5"/>
      </left>
      <right style="thin">
        <color rgb="00D5DCE5"/>
      </right>
      <top style="thin">
        <color rgb="00D5DCE5"/>
      </top>
      <bottom style="thin">
        <color rgb="00D5DCE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1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3" fontId="6" fillId="2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" applyAlignment="1" pivotButton="0" quotePrefix="0" xfId="0">
      <alignment horizontal="right" vertical="top" wrapText="1"/>
    </xf>
    <xf numFmtId="164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0" fontId="7" fillId="0" borderId="1" pivotButton="0" quotePrefix="0" xfId="0"/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15803D"/>
      </font>
      <fill>
        <patternFill patternType="solid">
          <bgColor rgb="00DCFCE7"/>
        </patternFill>
      </fill>
    </dxf>
    <dxf>
      <font>
        <b val="1"/>
        <color rgb="00B91C1C"/>
      </font>
      <fill>
        <patternFill patternType="solid">
          <bgColor rgb="00FEE2E2"/>
        </patternFill>
      </fill>
    </dxf>
    <dxf>
      <fill>
        <patternFill patternType="solid">
          <bgColor rgb="00DCFCE7"/>
        </patternFill>
      </fill>
    </dxf>
    <dxf>
      <fill>
        <patternFill patternType="solid"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نموذج المقارنة الأسبوعية — التشغيل المتوازي</t>
        </is>
      </c>
    </row>
    <row r="2">
      <c r="A2" s="2" t="inlineStr"/>
    </row>
    <row r="3">
      <c r="A3" s="2" t="inlineStr">
        <is>
          <t>1) انسخ ورقة «مقارنة الأرقام» لكل أسبوع (كليك يمين ← نقل أو نسخ) وسمّها بتاريخ الأحد: مثال 2026-11-01.</t>
        </is>
      </c>
    </row>
    <row r="4">
      <c r="A4" s="2" t="inlineStr">
        <is>
          <t>2) اكتب في الخلية B2 تاريخ الأسبوع، وفي B3 اسمك.</t>
        </is>
      </c>
    </row>
    <row r="5">
      <c r="A5" s="2" t="inlineStr">
        <is>
          <t>3) املأ عمودي «النظام الحالي» و«النظام الجديد» (الأعمدة الصفراء فقط). الباقي يُحسب تلقائياً.</t>
        </is>
      </c>
    </row>
    <row r="6">
      <c r="A6" s="2" t="inlineStr">
        <is>
          <t>4) الفرق المسموح به: أقل من 1 ريال (للتقريب). أي فرق أكبر يظهر أحمر.</t>
        </is>
      </c>
    </row>
    <row r="7">
      <c r="A7" s="2" t="inlineStr">
        <is>
          <t>5) لكل سطر أحمر سجّل السبب في ورقة «سجل الفروقات».</t>
        </is>
      </c>
    </row>
    <row r="8">
      <c r="A8" s="2" t="inlineStr">
        <is>
          <t>6) في نهاية الاجتماع املأ ورقة «قرار الأسبوع».</t>
        </is>
      </c>
    </row>
    <row r="9">
      <c r="A9" s="2" t="inlineStr"/>
    </row>
    <row r="10">
      <c r="A10" s="2" t="inlineStr">
        <is>
          <t>من أين تؤخذ أرقام النظام الجديد؟ مكتوب بجانب كل سطر في عمود «مصدر الرقم في النظام الجديد».</t>
        </is>
      </c>
    </row>
    <row r="11">
      <c r="A11" s="2" t="inlineStr">
        <is>
          <t>تنبيه: لا تعدّل الصيغ (الأعمدة الرمادية).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rightToLeft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  <col width="14" customWidth="1" min="5" max="5"/>
    <col width="44" customWidth="1" min="6" max="6"/>
    <col width="32" customWidth="1" min="7" max="7"/>
  </cols>
  <sheetData>
    <row r="1">
      <c r="A1" s="3" t="inlineStr">
        <is>
          <t>مقارنة النظام الحالي بالجديد</t>
        </is>
      </c>
    </row>
    <row r="2">
      <c r="A2" s="4" t="inlineStr">
        <is>
          <t>تاريخ الأسبوع (الأحد)</t>
        </is>
      </c>
      <c r="B2" s="5" t="n"/>
    </row>
    <row r="3">
      <c r="A3" s="4" t="inlineStr">
        <is>
          <t>المسؤول عن المقارنة</t>
        </is>
      </c>
      <c r="B3" s="6" t="n"/>
    </row>
    <row r="5" ht="30" customHeight="1">
      <c r="A5" s="7" t="inlineStr">
        <is>
          <t>البند</t>
        </is>
      </c>
      <c r="B5" s="7" t="inlineStr">
        <is>
          <t>النظام الحالي</t>
        </is>
      </c>
      <c r="C5" s="7" t="inlineStr">
        <is>
          <t>النظام الجديد</t>
        </is>
      </c>
      <c r="D5" s="7" t="inlineStr">
        <is>
          <t>الفرق</t>
        </is>
      </c>
      <c r="E5" s="7" t="inlineStr">
        <is>
          <t>النتيجة</t>
        </is>
      </c>
      <c r="F5" s="7" t="inlineStr">
        <is>
          <t>مصدر الرقم في النظام الجديد</t>
        </is>
      </c>
      <c r="G5" s="7" t="inlineStr">
        <is>
          <t>تعليق (إن وُجد فرق)</t>
        </is>
      </c>
    </row>
    <row r="6">
      <c r="A6" s="8" t="inlineStr">
        <is>
          <t>أوامر الشراء</t>
        </is>
      </c>
      <c r="B6" s="9" t="n"/>
      <c r="C6" s="9" t="n"/>
      <c r="D6" s="9" t="n"/>
      <c r="E6" s="9" t="n"/>
      <c r="F6" s="9" t="n"/>
      <c r="G6" s="9" t="n"/>
    </row>
    <row r="7" ht="32" customHeight="1">
      <c r="A7" s="10" t="inlineStr">
        <is>
          <t>عدد أوامر الشراء الصادرة هذا الأسبوع</t>
        </is>
      </c>
      <c r="B7" s="11" t="n"/>
      <c r="C7" s="11" t="n"/>
      <c r="D7" s="12">
        <f>IF(AND(ISNUMBER(B7),ISNUMBER(C7)),C7-B7,"")</f>
        <v/>
      </c>
      <c r="E7" s="13">
        <f>IF(D7="","",IF(ABS(D7)&lt;1,"مطابق","فرق"))</f>
        <v/>
      </c>
      <c r="F7" s="10" t="inlineStr">
        <is>
          <t>الرئيسية ← بطاقة «أوامر الشراء» (عدد الأوامر) أو «متابعة أوامر الشراء» بعد الفلترة بالتاريخ</t>
        </is>
      </c>
      <c r="G7" s="10" t="inlineStr"/>
    </row>
    <row r="8" ht="32" customHeight="1">
      <c r="A8" s="10" t="inlineStr">
        <is>
          <t>إجمالي قيمة أوامر الشراء (شامل الضريبة)</t>
        </is>
      </c>
      <c r="B8" s="14" t="n"/>
      <c r="C8" s="14" t="n"/>
      <c r="D8" s="12">
        <f>IF(AND(ISNUMBER(B8),ISNUMBER(C8)),C8-B8,"")</f>
        <v/>
      </c>
      <c r="E8" s="13">
        <f>IF(D8="","",IF(ABS(D8)&lt;1,"مطابق","فرق"))</f>
        <v/>
      </c>
      <c r="F8" s="10" t="inlineStr">
        <is>
          <t>الرئيسية ← بطاقة «أوامر الشراء»</t>
        </is>
      </c>
      <c r="G8" s="10" t="inlineStr"/>
    </row>
    <row r="9" ht="32" customHeight="1">
      <c r="A9" s="10" t="inlineStr">
        <is>
          <t>عدد الأوامر المستلمة بالكامل</t>
        </is>
      </c>
      <c r="B9" s="11" t="n"/>
      <c r="C9" s="11" t="n"/>
      <c r="D9" s="12">
        <f>IF(AND(ISNUMBER(B9),ISNUMBER(C9)),C9-B9,"")</f>
        <v/>
      </c>
      <c r="E9" s="13">
        <f>IF(D9="","",IF(ABS(D9)&lt;1,"مطابق","فرق"))</f>
        <v/>
      </c>
      <c r="F9" s="10" t="inlineStr">
        <is>
          <t>متابعة أوامر الشراء ← عدّ حالة «مكتمل»</t>
        </is>
      </c>
      <c r="G9" s="10" t="inlineStr"/>
    </row>
    <row r="10" ht="32" customHeight="1">
      <c r="A10" s="10" t="inlineStr">
        <is>
          <t>عدد الأوامر المسدّدة</t>
        </is>
      </c>
      <c r="B10" s="11" t="n"/>
      <c r="C10" s="11" t="n"/>
      <c r="D10" s="12">
        <f>IF(AND(ISNUMBER(B10),ISNUMBER(C10)),C10-B10,"")</f>
        <v/>
      </c>
      <c r="E10" s="13">
        <f>IF(D10="","",IF(ABS(D10)&lt;1,"مطابق","فرق"))</f>
        <v/>
      </c>
      <c r="F10" s="10" t="inlineStr">
        <is>
          <t>متابعة أوامر الشراء ← عدّ حالة «تم السداد»</t>
        </is>
      </c>
      <c r="G10" s="10" t="inlineStr"/>
    </row>
    <row r="11">
      <c r="A11" s="8" t="inlineStr">
        <is>
          <t>المقاولون</t>
        </is>
      </c>
      <c r="B11" s="9" t="n"/>
      <c r="C11" s="9" t="n"/>
      <c r="D11" s="9" t="n"/>
      <c r="E11" s="9" t="n"/>
      <c r="F11" s="9" t="n"/>
      <c r="G11" s="9" t="n"/>
    </row>
    <row r="12" ht="32" customHeight="1">
      <c r="A12" s="10" t="inlineStr">
        <is>
          <t>عدد المستخلصات المُدخلة هذا الأسبوع</t>
        </is>
      </c>
      <c r="B12" s="11" t="n"/>
      <c r="C12" s="11" t="n"/>
      <c r="D12" s="12">
        <f>IF(AND(ISNUMBER(B12),ISNUMBER(C12)),C12-B12,"")</f>
        <v/>
      </c>
      <c r="E12" s="13">
        <f>IF(D12="","",IF(ABS(D12)&lt;1,"مطابق","فرق"))</f>
        <v/>
      </c>
      <c r="F12" s="10" t="inlineStr">
        <is>
          <t>المستخلصات ← فلترة بالتاريخ</t>
        </is>
      </c>
      <c r="G12" s="10" t="inlineStr"/>
    </row>
    <row r="13" ht="32" customHeight="1">
      <c r="A13" s="10" t="inlineStr">
        <is>
          <t>إجمالي المستخلصات (مدين)</t>
        </is>
      </c>
      <c r="B13" s="14" t="n"/>
      <c r="C13" s="14" t="n"/>
      <c r="D13" s="12">
        <f>IF(AND(ISNUMBER(B13),ISNUMBER(C13)),C13-B13,"")</f>
        <v/>
      </c>
      <c r="E13" s="13">
        <f>IF(D13="","",IF(ABS(D13)&lt;1,"مطابق","فرق"))</f>
        <v/>
      </c>
      <c r="F13" s="10" t="inlineStr">
        <is>
          <t>الرئيسية ← «إجمالي المستخلصات»</t>
        </is>
      </c>
      <c r="G13" s="10" t="inlineStr"/>
    </row>
    <row r="14" ht="32" customHeight="1">
      <c r="A14" s="10" t="inlineStr">
        <is>
          <t>إجمالي المصروف (دائن)</t>
        </is>
      </c>
      <c r="B14" s="14" t="n"/>
      <c r="C14" s="14" t="n"/>
      <c r="D14" s="12">
        <f>IF(AND(ISNUMBER(B14),ISNUMBER(C14)),C14-B14,"")</f>
        <v/>
      </c>
      <c r="E14" s="13">
        <f>IF(D14="","",IF(ABS(D14)&lt;1,"مطابق","فرق"))</f>
        <v/>
      </c>
      <c r="F14" s="10" t="inlineStr">
        <is>
          <t>الرئيسية ← «إجمالي المصروف»</t>
        </is>
      </c>
      <c r="G14" s="10" t="inlineStr"/>
    </row>
    <row r="15" ht="32" customHeight="1">
      <c r="A15" s="10" t="inlineStr">
        <is>
          <t>إجمالي المتبقي للمقاولين</t>
        </is>
      </c>
      <c r="B15" s="14" t="n"/>
      <c r="C15" s="14" t="n"/>
      <c r="D15" s="12">
        <f>IF(AND(ISNUMBER(B15),ISNUMBER(C15)),C15-B15,"")</f>
        <v/>
      </c>
      <c r="E15" s="13">
        <f>IF(D15="","",IF(ABS(D15)&lt;1,"مطابق","فرق"))</f>
        <v/>
      </c>
      <c r="F15" s="10" t="inlineStr">
        <is>
          <t>الرئيسية ← «المتبقي للمقاولين»</t>
        </is>
      </c>
      <c r="G15" s="10" t="inlineStr"/>
    </row>
    <row r="16" ht="32" customHeight="1">
      <c r="A16" s="10" t="inlineStr">
        <is>
          <t>عدد دورات الصرف المنفّذة هذا الأسبوع</t>
        </is>
      </c>
      <c r="B16" s="11" t="n"/>
      <c r="C16" s="11" t="n"/>
      <c r="D16" s="12">
        <f>IF(AND(ISNUMBER(B16),ISNUMBER(C16)),C16-B16,"")</f>
        <v/>
      </c>
      <c r="E16" s="13">
        <f>IF(D16="","",IF(ABS(D16)&lt;1,"مطابق","فرق"))</f>
        <v/>
      </c>
      <c r="F16" s="10" t="inlineStr">
        <is>
          <t>دورة الصرف ← عدّ المنفّذة</t>
        </is>
      </c>
      <c r="G16" s="10" t="inlineStr"/>
    </row>
    <row r="17" ht="32" customHeight="1">
      <c r="A17" s="10" t="inlineStr">
        <is>
          <t>إجمالي ما حُوّل في دورات الأسبوع</t>
        </is>
      </c>
      <c r="B17" s="14" t="n"/>
      <c r="C17" s="14" t="n"/>
      <c r="D17" s="12">
        <f>IF(AND(ISNUMBER(B17),ISNUMBER(C17)),C17-B17,"")</f>
        <v/>
      </c>
      <c r="E17" s="13">
        <f>IF(D17="","",IF(ABS(D17)&lt;1,"مطابق","فرق"))</f>
        <v/>
      </c>
      <c r="F17" s="10" t="inlineStr">
        <is>
          <t>دورة الصرف ← مجموع التحويلات</t>
        </is>
      </c>
      <c r="G17" s="10" t="inlineStr"/>
    </row>
    <row r="18">
      <c r="A18" s="8" t="inlineStr">
        <is>
          <t>أرصدة أكبر المقاولين (رصيد كشف الحساب)</t>
        </is>
      </c>
      <c r="B18" s="9" t="n"/>
      <c r="C18" s="9" t="n"/>
      <c r="D18" s="9" t="n"/>
      <c r="E18" s="9" t="n"/>
      <c r="F18" s="9" t="n"/>
      <c r="G18" s="9" t="n"/>
    </row>
    <row r="19" ht="32" customHeight="1">
      <c r="A19" s="10" t="inlineStr">
        <is>
          <t>المقاول 1: ______________</t>
        </is>
      </c>
      <c r="B19" s="14" t="n"/>
      <c r="C19" s="14" t="n"/>
      <c r="D19" s="12">
        <f>IF(AND(ISNUMBER(B19),ISNUMBER(C19)),C19-B19,"")</f>
        <v/>
      </c>
      <c r="E19" s="13">
        <f>IF(D19="","",IF(ABS(D19)&lt;1,"مطابق","فرق"))</f>
        <v/>
      </c>
      <c r="F19" s="10" t="inlineStr">
        <is>
          <t>صفحة المقاول ← «المتبقي للمقاول» (= كشف الحساب)</t>
        </is>
      </c>
      <c r="G19" s="10" t="inlineStr"/>
    </row>
    <row r="20" ht="32" customHeight="1">
      <c r="A20" s="10" t="inlineStr">
        <is>
          <t>المقاول 2: ______________</t>
        </is>
      </c>
      <c r="B20" s="14" t="n"/>
      <c r="C20" s="14" t="n"/>
      <c r="D20" s="12">
        <f>IF(AND(ISNUMBER(B20),ISNUMBER(C20)),C20-B20,"")</f>
        <v/>
      </c>
      <c r="E20" s="13">
        <f>IF(D20="","",IF(ABS(D20)&lt;1,"مطابق","فرق"))</f>
        <v/>
      </c>
      <c r="F20" s="10" t="inlineStr">
        <is>
          <t>نفسه</t>
        </is>
      </c>
      <c r="G20" s="10" t="inlineStr"/>
    </row>
    <row r="21" ht="32" customHeight="1">
      <c r="A21" s="10" t="inlineStr">
        <is>
          <t>المقاول 3: ______________</t>
        </is>
      </c>
      <c r="B21" s="14" t="n"/>
      <c r="C21" s="14" t="n"/>
      <c r="D21" s="12">
        <f>IF(AND(ISNUMBER(B21),ISNUMBER(C21)),C21-B21,"")</f>
        <v/>
      </c>
      <c r="E21" s="13">
        <f>IF(D21="","",IF(ABS(D21)&lt;1,"مطابق","فرق"))</f>
        <v/>
      </c>
      <c r="F21" s="10" t="inlineStr">
        <is>
          <t>نفسه</t>
        </is>
      </c>
      <c r="G21" s="10" t="inlineStr"/>
    </row>
    <row r="22" ht="32" customHeight="1">
      <c r="A22" s="10" t="inlineStr">
        <is>
          <t>المقاول 4: ______________</t>
        </is>
      </c>
      <c r="B22" s="14" t="n"/>
      <c r="C22" s="14" t="n"/>
      <c r="D22" s="12">
        <f>IF(AND(ISNUMBER(B22),ISNUMBER(C22)),C22-B22,"")</f>
        <v/>
      </c>
      <c r="E22" s="13">
        <f>IF(D22="","",IF(ABS(D22)&lt;1,"مطابق","فرق"))</f>
        <v/>
      </c>
      <c r="F22" s="10" t="inlineStr">
        <is>
          <t>نفسه</t>
        </is>
      </c>
      <c r="G22" s="10" t="inlineStr"/>
    </row>
    <row r="23" ht="32" customHeight="1">
      <c r="A23" s="10" t="inlineStr">
        <is>
          <t>المقاول 5: ______________</t>
        </is>
      </c>
      <c r="B23" s="14" t="n"/>
      <c r="C23" s="14" t="n"/>
      <c r="D23" s="12">
        <f>IF(AND(ISNUMBER(B23),ISNUMBER(C23)),C23-B23,"")</f>
        <v/>
      </c>
      <c r="E23" s="13">
        <f>IF(D23="","",IF(ABS(D23)&lt;1,"مطابق","فرق"))</f>
        <v/>
      </c>
      <c r="F23" s="10" t="inlineStr">
        <is>
          <t>نفسه</t>
        </is>
      </c>
      <c r="G23" s="10" t="inlineStr"/>
    </row>
    <row r="24">
      <c r="A24" s="8" t="inlineStr">
        <is>
          <t>النظام نفسه</t>
        </is>
      </c>
      <c r="B24" s="9" t="n"/>
      <c r="C24" s="9" t="n"/>
      <c r="D24" s="9" t="n"/>
      <c r="E24" s="9" t="n"/>
      <c r="F24" s="9" t="n"/>
      <c r="G24" s="9" t="n"/>
    </row>
    <row r="25" ht="32" customHeight="1">
      <c r="A25" s="10" t="inlineStr">
        <is>
          <t>عدد أخطاء 500 أو توقفات هذا الأسبوع (الجديد فقط)</t>
        </is>
      </c>
      <c r="B25" s="15" t="inlineStr">
        <is>
          <t>—</t>
        </is>
      </c>
      <c r="C25" s="11" t="n"/>
      <c r="D25" s="13" t="inlineStr">
        <is>
          <t>—</t>
        </is>
      </c>
      <c r="E25" s="13">
        <f>IF(ISNUMBER(C25),IF(C25=0,"مطابق","فرق"),"")</f>
        <v/>
      </c>
      <c r="F25" s="10" t="inlineStr">
        <is>
          <t>سجل التشغيل (logs) أو بلاغات المستخدمين</t>
        </is>
      </c>
      <c r="G25" s="10" t="inlineStr"/>
    </row>
    <row r="26" ht="32" customHeight="1">
      <c r="A26" s="10" t="inlineStr">
        <is>
          <t>عمر آخر نسخة احتياطية (ساعات) — يجب &lt; 12</t>
        </is>
      </c>
      <c r="B26" s="15" t="inlineStr">
        <is>
          <t>—</t>
        </is>
      </c>
      <c r="C26" s="11" t="n"/>
      <c r="D26" s="13" t="inlineStr">
        <is>
          <t>—</t>
        </is>
      </c>
      <c r="E26" s="13">
        <f>IF(ISNUMBER(C26),IF(C26&lt;12,"مطابق","فرق"),"")</f>
        <v/>
      </c>
      <c r="F26" s="10" t="inlineStr">
        <is>
          <t>/health ← backup.age_hours</t>
        </is>
      </c>
      <c r="G26" s="10" t="inlineStr"/>
    </row>
    <row r="27" ht="32" customHeight="1">
      <c r="A27" s="10" t="inlineStr">
        <is>
          <t>تقييم السرعة من المستخدمين الرئيسيين (1–5) — المقبول 4 فأكثر</t>
        </is>
      </c>
      <c r="B27" s="15" t="inlineStr">
        <is>
          <t>—</t>
        </is>
      </c>
      <c r="C27" s="11" t="n"/>
      <c r="D27" s="13" t="inlineStr">
        <is>
          <t>—</t>
        </is>
      </c>
      <c r="E27" s="13">
        <f>IF(ISNUMBER(C27),IF(C27&gt;=4,"مطابق","فرق"),"")</f>
        <v/>
      </c>
      <c r="F27" s="10" t="inlineStr">
        <is>
          <t>استبيان شفهي</t>
        </is>
      </c>
      <c r="G27" s="10" t="inlineStr"/>
    </row>
    <row r="29">
      <c r="A29" s="16" t="inlineStr">
        <is>
          <t>عدد السطور المطابقة</t>
        </is>
      </c>
      <c r="B29">
        <f>COUNTIF(E7:E27,"مطابق")</f>
        <v/>
      </c>
    </row>
    <row r="30">
      <c r="A30" s="16" t="inlineStr">
        <is>
          <t>عدد السطور المختلفة</t>
        </is>
      </c>
      <c r="B30">
        <f>COUNTIF(E7:E27,"فرق")</f>
        <v/>
      </c>
    </row>
    <row r="31">
      <c r="A31" s="16" t="inlineStr">
        <is>
          <t>حكم الأسبوع</t>
        </is>
      </c>
      <c r="B31">
        <f>IF(B30=0,"لا فروقات","يوجد فروقات: راجعها")</f>
        <v/>
      </c>
    </row>
  </sheetData>
  <conditionalFormatting sqref="E7:E27">
    <cfRule type="cellIs" priority="1" operator="equal" dxfId="0">
      <formula>"مطابق"</formula>
    </cfRule>
    <cfRule type="cellIs" priority="2" operator="equal" dxfId="1">
      <formula>"فرق"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6" customWidth="1" min="4" max="4"/>
    <col width="16" customWidth="1" min="5" max="5"/>
    <col width="28" customWidth="1" min="6" max="6"/>
    <col width="34" customWidth="1" min="7" max="7"/>
    <col width="16" customWidth="1" min="8" max="8"/>
    <col width="14" customWidth="1" min="9" max="9"/>
  </cols>
  <sheetData>
    <row r="1">
      <c r="A1" s="7" t="inlineStr">
        <is>
          <t>#</t>
        </is>
      </c>
      <c r="B1" s="7" t="inlineStr">
        <is>
          <t>التاريخ</t>
        </is>
      </c>
      <c r="C1" s="7" t="inlineStr">
        <is>
          <t>البند</t>
        </is>
      </c>
      <c r="D1" s="7" t="inlineStr">
        <is>
          <t>قيمة الحالي</t>
        </is>
      </c>
      <c r="E1" s="7" t="inlineStr">
        <is>
          <t>قيمة الجديد</t>
        </is>
      </c>
      <c r="F1" s="7" t="inlineStr">
        <is>
          <t>السبب</t>
        </is>
      </c>
      <c r="G1" s="7" t="inlineStr">
        <is>
          <t>كيف عولج</t>
        </is>
      </c>
      <c r="H1" s="7" t="inlineStr">
        <is>
          <t>أي النظامين الخاطئ؟</t>
        </is>
      </c>
      <c r="I1" s="7" t="inlineStr">
        <is>
          <t>الحالة</t>
        </is>
      </c>
    </row>
    <row r="2">
      <c r="A2" s="17" t="n">
        <v>1</v>
      </c>
      <c r="B2" s="18" t="n"/>
      <c r="C2" s="17" t="n"/>
      <c r="D2" s="19" t="n"/>
      <c r="E2" s="19" t="n"/>
      <c r="F2" s="17" t="n"/>
      <c r="G2" s="17" t="n"/>
      <c r="H2" s="17" t="n"/>
      <c r="I2" s="17" t="n"/>
    </row>
    <row r="3">
      <c r="A3" s="17" t="n">
        <v>2</v>
      </c>
      <c r="B3" s="18" t="n"/>
      <c r="C3" s="17" t="n"/>
      <c r="D3" s="19" t="n"/>
      <c r="E3" s="19" t="n"/>
      <c r="F3" s="17" t="n"/>
      <c r="G3" s="17" t="n"/>
      <c r="H3" s="17" t="n"/>
      <c r="I3" s="17" t="n"/>
    </row>
    <row r="4">
      <c r="A4" s="17" t="n">
        <v>3</v>
      </c>
      <c r="B4" s="18" t="n"/>
      <c r="C4" s="17" t="n"/>
      <c r="D4" s="19" t="n"/>
      <c r="E4" s="19" t="n"/>
      <c r="F4" s="17" t="n"/>
      <c r="G4" s="17" t="n"/>
      <c r="H4" s="17" t="n"/>
      <c r="I4" s="17" t="n"/>
    </row>
    <row r="5">
      <c r="A5" s="17" t="n">
        <v>4</v>
      </c>
      <c r="B5" s="18" t="n"/>
      <c r="C5" s="17" t="n"/>
      <c r="D5" s="19" t="n"/>
      <c r="E5" s="19" t="n"/>
      <c r="F5" s="17" t="n"/>
      <c r="G5" s="17" t="n"/>
      <c r="H5" s="17" t="n"/>
      <c r="I5" s="17" t="n"/>
    </row>
    <row r="6">
      <c r="A6" s="17" t="n">
        <v>5</v>
      </c>
      <c r="B6" s="18" t="n"/>
      <c r="C6" s="17" t="n"/>
      <c r="D6" s="19" t="n"/>
      <c r="E6" s="19" t="n"/>
      <c r="F6" s="17" t="n"/>
      <c r="G6" s="17" t="n"/>
      <c r="H6" s="17" t="n"/>
      <c r="I6" s="17" t="n"/>
    </row>
    <row r="7">
      <c r="A7" s="17" t="n">
        <v>6</v>
      </c>
      <c r="B7" s="18" t="n"/>
      <c r="C7" s="17" t="n"/>
      <c r="D7" s="19" t="n"/>
      <c r="E7" s="19" t="n"/>
      <c r="F7" s="17" t="n"/>
      <c r="G7" s="17" t="n"/>
      <c r="H7" s="17" t="n"/>
      <c r="I7" s="17" t="n"/>
    </row>
    <row r="8">
      <c r="A8" s="17" t="n">
        <v>7</v>
      </c>
      <c r="B8" s="18" t="n"/>
      <c r="C8" s="17" t="n"/>
      <c r="D8" s="19" t="n"/>
      <c r="E8" s="19" t="n"/>
      <c r="F8" s="17" t="n"/>
      <c r="G8" s="17" t="n"/>
      <c r="H8" s="17" t="n"/>
      <c r="I8" s="17" t="n"/>
    </row>
    <row r="9">
      <c r="A9" s="17" t="n">
        <v>8</v>
      </c>
      <c r="B9" s="18" t="n"/>
      <c r="C9" s="17" t="n"/>
      <c r="D9" s="19" t="n"/>
      <c r="E9" s="19" t="n"/>
      <c r="F9" s="17" t="n"/>
      <c r="G9" s="17" t="n"/>
      <c r="H9" s="17" t="n"/>
      <c r="I9" s="17" t="n"/>
    </row>
    <row r="10">
      <c r="A10" s="17" t="n">
        <v>9</v>
      </c>
      <c r="B10" s="18" t="n"/>
      <c r="C10" s="17" t="n"/>
      <c r="D10" s="19" t="n"/>
      <c r="E10" s="19" t="n"/>
      <c r="F10" s="17" t="n"/>
      <c r="G10" s="17" t="n"/>
      <c r="H10" s="17" t="n"/>
      <c r="I10" s="17" t="n"/>
    </row>
    <row r="11">
      <c r="A11" s="17" t="n">
        <v>10</v>
      </c>
      <c r="B11" s="18" t="n"/>
      <c r="C11" s="17" t="n"/>
      <c r="D11" s="19" t="n"/>
      <c r="E11" s="19" t="n"/>
      <c r="F11" s="17" t="n"/>
      <c r="G11" s="17" t="n"/>
      <c r="H11" s="17" t="n"/>
      <c r="I11" s="17" t="n"/>
    </row>
    <row r="12">
      <c r="A12" s="17" t="n">
        <v>11</v>
      </c>
      <c r="B12" s="18" t="n"/>
      <c r="C12" s="17" t="n"/>
      <c r="D12" s="19" t="n"/>
      <c r="E12" s="19" t="n"/>
      <c r="F12" s="17" t="n"/>
      <c r="G12" s="17" t="n"/>
      <c r="H12" s="17" t="n"/>
      <c r="I12" s="17" t="n"/>
    </row>
    <row r="13">
      <c r="A13" s="17" t="n">
        <v>12</v>
      </c>
      <c r="B13" s="18" t="n"/>
      <c r="C13" s="17" t="n"/>
      <c r="D13" s="19" t="n"/>
      <c r="E13" s="19" t="n"/>
      <c r="F13" s="17" t="n"/>
      <c r="G13" s="17" t="n"/>
      <c r="H13" s="17" t="n"/>
      <c r="I13" s="17" t="n"/>
    </row>
    <row r="14">
      <c r="A14" s="17" t="n">
        <v>13</v>
      </c>
      <c r="B14" s="18" t="n"/>
      <c r="C14" s="17" t="n"/>
      <c r="D14" s="19" t="n"/>
      <c r="E14" s="19" t="n"/>
      <c r="F14" s="17" t="n"/>
      <c r="G14" s="17" t="n"/>
      <c r="H14" s="17" t="n"/>
      <c r="I14" s="17" t="n"/>
    </row>
    <row r="15">
      <c r="A15" s="17" t="n">
        <v>14</v>
      </c>
      <c r="B15" s="18" t="n"/>
      <c r="C15" s="17" t="n"/>
      <c r="D15" s="19" t="n"/>
      <c r="E15" s="19" t="n"/>
      <c r="F15" s="17" t="n"/>
      <c r="G15" s="17" t="n"/>
      <c r="H15" s="17" t="n"/>
      <c r="I15" s="17" t="n"/>
    </row>
    <row r="16">
      <c r="A16" s="17" t="n">
        <v>15</v>
      </c>
      <c r="B16" s="18" t="n"/>
      <c r="C16" s="17" t="n"/>
      <c r="D16" s="19" t="n"/>
      <c r="E16" s="19" t="n"/>
      <c r="F16" s="17" t="n"/>
      <c r="G16" s="17" t="n"/>
      <c r="H16" s="17" t="n"/>
      <c r="I16" s="17" t="n"/>
    </row>
    <row r="17">
      <c r="A17" s="17" t="n">
        <v>16</v>
      </c>
      <c r="B17" s="18" t="n"/>
      <c r="C17" s="17" t="n"/>
      <c r="D17" s="19" t="n"/>
      <c r="E17" s="19" t="n"/>
      <c r="F17" s="17" t="n"/>
      <c r="G17" s="17" t="n"/>
      <c r="H17" s="17" t="n"/>
      <c r="I17" s="17" t="n"/>
    </row>
    <row r="18">
      <c r="A18" s="17" t="n">
        <v>17</v>
      </c>
      <c r="B18" s="18" t="n"/>
      <c r="C18" s="17" t="n"/>
      <c r="D18" s="19" t="n"/>
      <c r="E18" s="19" t="n"/>
      <c r="F18" s="17" t="n"/>
      <c r="G18" s="17" t="n"/>
      <c r="H18" s="17" t="n"/>
      <c r="I18" s="17" t="n"/>
    </row>
    <row r="19">
      <c r="A19" s="17" t="n">
        <v>18</v>
      </c>
      <c r="B19" s="18" t="n"/>
      <c r="C19" s="17" t="n"/>
      <c r="D19" s="19" t="n"/>
      <c r="E19" s="19" t="n"/>
      <c r="F19" s="17" t="n"/>
      <c r="G19" s="17" t="n"/>
      <c r="H19" s="17" t="n"/>
      <c r="I19" s="17" t="n"/>
    </row>
    <row r="20">
      <c r="A20" s="17" t="n">
        <v>19</v>
      </c>
      <c r="B20" s="18" t="n"/>
      <c r="C20" s="17" t="n"/>
      <c r="D20" s="19" t="n"/>
      <c r="E20" s="19" t="n"/>
      <c r="F20" s="17" t="n"/>
      <c r="G20" s="17" t="n"/>
      <c r="H20" s="17" t="n"/>
      <c r="I20" s="17" t="n"/>
    </row>
    <row r="21">
      <c r="A21" s="17" t="n">
        <v>20</v>
      </c>
      <c r="B21" s="18" t="n"/>
      <c r="C21" s="17" t="n"/>
      <c r="D21" s="19" t="n"/>
      <c r="E21" s="19" t="n"/>
      <c r="F21" s="17" t="n"/>
      <c r="G21" s="17" t="n"/>
      <c r="H21" s="17" t="n"/>
      <c r="I21" s="17" t="n"/>
    </row>
    <row r="22">
      <c r="A22" s="17" t="n">
        <v>21</v>
      </c>
      <c r="B22" s="18" t="n"/>
      <c r="C22" s="17" t="n"/>
      <c r="D22" s="19" t="n"/>
      <c r="E22" s="19" t="n"/>
      <c r="F22" s="17" t="n"/>
      <c r="G22" s="17" t="n"/>
      <c r="H22" s="17" t="n"/>
      <c r="I22" s="17" t="n"/>
    </row>
    <row r="23">
      <c r="A23" s="17" t="n">
        <v>22</v>
      </c>
      <c r="B23" s="18" t="n"/>
      <c r="C23" s="17" t="n"/>
      <c r="D23" s="19" t="n"/>
      <c r="E23" s="19" t="n"/>
      <c r="F23" s="17" t="n"/>
      <c r="G23" s="17" t="n"/>
      <c r="H23" s="17" t="n"/>
      <c r="I23" s="17" t="n"/>
    </row>
    <row r="24">
      <c r="A24" s="17" t="n">
        <v>23</v>
      </c>
      <c r="B24" s="18" t="n"/>
      <c r="C24" s="17" t="n"/>
      <c r="D24" s="19" t="n"/>
      <c r="E24" s="19" t="n"/>
      <c r="F24" s="17" t="n"/>
      <c r="G24" s="17" t="n"/>
      <c r="H24" s="17" t="n"/>
      <c r="I24" s="17" t="n"/>
    </row>
    <row r="25">
      <c r="A25" s="17" t="n">
        <v>24</v>
      </c>
      <c r="B25" s="18" t="n"/>
      <c r="C25" s="17" t="n"/>
      <c r="D25" s="19" t="n"/>
      <c r="E25" s="19" t="n"/>
      <c r="F25" s="17" t="n"/>
      <c r="G25" s="17" t="n"/>
      <c r="H25" s="17" t="n"/>
      <c r="I25" s="17" t="n"/>
    </row>
    <row r="26">
      <c r="A26" s="17" t="n">
        <v>25</v>
      </c>
      <c r="B26" s="18" t="n"/>
      <c r="C26" s="17" t="n"/>
      <c r="D26" s="19" t="n"/>
      <c r="E26" s="19" t="n"/>
      <c r="F26" s="17" t="n"/>
      <c r="G26" s="17" t="n"/>
      <c r="H26" s="17" t="n"/>
      <c r="I26" s="17" t="n"/>
    </row>
    <row r="27">
      <c r="A27" s="17" t="n">
        <v>26</v>
      </c>
      <c r="B27" s="18" t="n"/>
      <c r="C27" s="17" t="n"/>
      <c r="D27" s="19" t="n"/>
      <c r="E27" s="19" t="n"/>
      <c r="F27" s="17" t="n"/>
      <c r="G27" s="17" t="n"/>
      <c r="H27" s="17" t="n"/>
      <c r="I27" s="17" t="n"/>
    </row>
    <row r="28">
      <c r="A28" s="17" t="n">
        <v>27</v>
      </c>
      <c r="B28" s="18" t="n"/>
      <c r="C28" s="17" t="n"/>
      <c r="D28" s="19" t="n"/>
      <c r="E28" s="19" t="n"/>
      <c r="F28" s="17" t="n"/>
      <c r="G28" s="17" t="n"/>
      <c r="H28" s="17" t="n"/>
      <c r="I28" s="17" t="n"/>
    </row>
    <row r="29">
      <c r="A29" s="17" t="n">
        <v>28</v>
      </c>
      <c r="B29" s="18" t="n"/>
      <c r="C29" s="17" t="n"/>
      <c r="D29" s="19" t="n"/>
      <c r="E29" s="19" t="n"/>
      <c r="F29" s="17" t="n"/>
      <c r="G29" s="17" t="n"/>
      <c r="H29" s="17" t="n"/>
      <c r="I29" s="17" t="n"/>
    </row>
    <row r="30">
      <c r="A30" s="17" t="n">
        <v>29</v>
      </c>
      <c r="B30" s="18" t="n"/>
      <c r="C30" s="17" t="n"/>
      <c r="D30" s="19" t="n"/>
      <c r="E30" s="19" t="n"/>
      <c r="F30" s="17" t="n"/>
      <c r="G30" s="17" t="n"/>
      <c r="H30" s="17" t="n"/>
      <c r="I30" s="17" t="n"/>
    </row>
    <row r="31">
      <c r="A31" s="17" t="n">
        <v>30</v>
      </c>
      <c r="B31" s="18" t="n"/>
      <c r="C31" s="17" t="n"/>
      <c r="D31" s="19" t="n"/>
      <c r="E31" s="19" t="n"/>
      <c r="F31" s="17" t="n"/>
      <c r="G31" s="17" t="n"/>
      <c r="H31" s="17" t="n"/>
      <c r="I31" s="17" t="n"/>
    </row>
    <row r="32">
      <c r="A32" s="17" t="n">
        <v>31</v>
      </c>
      <c r="B32" s="18" t="n"/>
      <c r="C32" s="17" t="n"/>
      <c r="D32" s="19" t="n"/>
      <c r="E32" s="19" t="n"/>
      <c r="F32" s="17" t="n"/>
      <c r="G32" s="17" t="n"/>
      <c r="H32" s="17" t="n"/>
      <c r="I32" s="17" t="n"/>
    </row>
    <row r="33">
      <c r="A33" s="17" t="n">
        <v>32</v>
      </c>
      <c r="B33" s="18" t="n"/>
      <c r="C33" s="17" t="n"/>
      <c r="D33" s="19" t="n"/>
      <c r="E33" s="19" t="n"/>
      <c r="F33" s="17" t="n"/>
      <c r="G33" s="17" t="n"/>
      <c r="H33" s="17" t="n"/>
      <c r="I33" s="17" t="n"/>
    </row>
    <row r="34">
      <c r="A34" s="17" t="n">
        <v>33</v>
      </c>
      <c r="B34" s="18" t="n"/>
      <c r="C34" s="17" t="n"/>
      <c r="D34" s="19" t="n"/>
      <c r="E34" s="19" t="n"/>
      <c r="F34" s="17" t="n"/>
      <c r="G34" s="17" t="n"/>
      <c r="H34" s="17" t="n"/>
      <c r="I34" s="17" t="n"/>
    </row>
    <row r="35">
      <c r="A35" s="17" t="n">
        <v>34</v>
      </c>
      <c r="B35" s="18" t="n"/>
      <c r="C35" s="17" t="n"/>
      <c r="D35" s="19" t="n"/>
      <c r="E35" s="19" t="n"/>
      <c r="F35" s="17" t="n"/>
      <c r="G35" s="17" t="n"/>
      <c r="H35" s="17" t="n"/>
      <c r="I35" s="17" t="n"/>
    </row>
    <row r="36">
      <c r="A36" s="17" t="n">
        <v>35</v>
      </c>
      <c r="B36" s="18" t="n"/>
      <c r="C36" s="17" t="n"/>
      <c r="D36" s="19" t="n"/>
      <c r="E36" s="19" t="n"/>
      <c r="F36" s="17" t="n"/>
      <c r="G36" s="17" t="n"/>
      <c r="H36" s="17" t="n"/>
      <c r="I36" s="17" t="n"/>
    </row>
    <row r="37">
      <c r="A37" s="17" t="n">
        <v>36</v>
      </c>
      <c r="B37" s="18" t="n"/>
      <c r="C37" s="17" t="n"/>
      <c r="D37" s="19" t="n"/>
      <c r="E37" s="19" t="n"/>
      <c r="F37" s="17" t="n"/>
      <c r="G37" s="17" t="n"/>
      <c r="H37" s="17" t="n"/>
      <c r="I37" s="17" t="n"/>
    </row>
    <row r="38">
      <c r="A38" s="17" t="n">
        <v>37</v>
      </c>
      <c r="B38" s="18" t="n"/>
      <c r="C38" s="17" t="n"/>
      <c r="D38" s="19" t="n"/>
      <c r="E38" s="19" t="n"/>
      <c r="F38" s="17" t="n"/>
      <c r="G38" s="17" t="n"/>
      <c r="H38" s="17" t="n"/>
      <c r="I38" s="17" t="n"/>
    </row>
    <row r="39">
      <c r="A39" s="17" t="n">
        <v>38</v>
      </c>
      <c r="B39" s="18" t="n"/>
      <c r="C39" s="17" t="n"/>
      <c r="D39" s="19" t="n"/>
      <c r="E39" s="19" t="n"/>
      <c r="F39" s="17" t="n"/>
      <c r="G39" s="17" t="n"/>
      <c r="H39" s="17" t="n"/>
      <c r="I39" s="17" t="n"/>
    </row>
    <row r="40">
      <c r="A40" s="17" t="n">
        <v>39</v>
      </c>
      <c r="B40" s="18" t="n"/>
      <c r="C40" s="17" t="n"/>
      <c r="D40" s="19" t="n"/>
      <c r="E40" s="19" t="n"/>
      <c r="F40" s="17" t="n"/>
      <c r="G40" s="17" t="n"/>
      <c r="H40" s="17" t="n"/>
      <c r="I40" s="17" t="n"/>
    </row>
    <row r="41">
      <c r="A41" s="17" t="n">
        <v>40</v>
      </c>
      <c r="B41" s="18" t="n"/>
      <c r="C41" s="17" t="n"/>
      <c r="D41" s="19" t="n"/>
      <c r="E41" s="19" t="n"/>
      <c r="F41" s="17" t="n"/>
      <c r="G41" s="17" t="n"/>
      <c r="H41" s="17" t="n"/>
      <c r="I41" s="17" t="n"/>
    </row>
    <row r="42">
      <c r="A42" s="17" t="n">
        <v>41</v>
      </c>
      <c r="B42" s="18" t="n"/>
      <c r="C42" s="17" t="n"/>
      <c r="D42" s="19" t="n"/>
      <c r="E42" s="19" t="n"/>
      <c r="F42" s="17" t="n"/>
      <c r="G42" s="17" t="n"/>
      <c r="H42" s="17" t="n"/>
      <c r="I42" s="17" t="n"/>
    </row>
    <row r="43">
      <c r="A43" s="17" t="n">
        <v>42</v>
      </c>
      <c r="B43" s="18" t="n"/>
      <c r="C43" s="17" t="n"/>
      <c r="D43" s="19" t="n"/>
      <c r="E43" s="19" t="n"/>
      <c r="F43" s="17" t="n"/>
      <c r="G43" s="17" t="n"/>
      <c r="H43" s="17" t="n"/>
      <c r="I43" s="17" t="n"/>
    </row>
    <row r="44">
      <c r="A44" s="17" t="n">
        <v>43</v>
      </c>
      <c r="B44" s="18" t="n"/>
      <c r="C44" s="17" t="n"/>
      <c r="D44" s="19" t="n"/>
      <c r="E44" s="19" t="n"/>
      <c r="F44" s="17" t="n"/>
      <c r="G44" s="17" t="n"/>
      <c r="H44" s="17" t="n"/>
      <c r="I44" s="17" t="n"/>
    </row>
    <row r="45">
      <c r="A45" s="17" t="n">
        <v>44</v>
      </c>
      <c r="B45" s="18" t="n"/>
      <c r="C45" s="17" t="n"/>
      <c r="D45" s="19" t="n"/>
      <c r="E45" s="19" t="n"/>
      <c r="F45" s="17" t="n"/>
      <c r="G45" s="17" t="n"/>
      <c r="H45" s="17" t="n"/>
      <c r="I45" s="17" t="n"/>
    </row>
    <row r="46">
      <c r="A46" s="17" t="n">
        <v>45</v>
      </c>
      <c r="B46" s="18" t="n"/>
      <c r="C46" s="17" t="n"/>
      <c r="D46" s="19" t="n"/>
      <c r="E46" s="19" t="n"/>
      <c r="F46" s="17" t="n"/>
      <c r="G46" s="17" t="n"/>
      <c r="H46" s="17" t="n"/>
      <c r="I46" s="17" t="n"/>
    </row>
    <row r="47">
      <c r="A47" s="17" t="n">
        <v>46</v>
      </c>
      <c r="B47" s="18" t="n"/>
      <c r="C47" s="17" t="n"/>
      <c r="D47" s="19" t="n"/>
      <c r="E47" s="19" t="n"/>
      <c r="F47" s="17" t="n"/>
      <c r="G47" s="17" t="n"/>
      <c r="H47" s="17" t="n"/>
      <c r="I47" s="17" t="n"/>
    </row>
    <row r="48">
      <c r="A48" s="17" t="n">
        <v>47</v>
      </c>
      <c r="B48" s="18" t="n"/>
      <c r="C48" s="17" t="n"/>
      <c r="D48" s="19" t="n"/>
      <c r="E48" s="19" t="n"/>
      <c r="F48" s="17" t="n"/>
      <c r="G48" s="17" t="n"/>
      <c r="H48" s="17" t="n"/>
      <c r="I48" s="17" t="n"/>
    </row>
    <row r="49">
      <c r="A49" s="17" t="n">
        <v>48</v>
      </c>
      <c r="B49" s="18" t="n"/>
      <c r="C49" s="17" t="n"/>
      <c r="D49" s="19" t="n"/>
      <c r="E49" s="19" t="n"/>
      <c r="F49" s="17" t="n"/>
      <c r="G49" s="17" t="n"/>
      <c r="H49" s="17" t="n"/>
      <c r="I49" s="17" t="n"/>
    </row>
    <row r="50">
      <c r="A50" s="17" t="n">
        <v>49</v>
      </c>
      <c r="B50" s="18" t="n"/>
      <c r="C50" s="17" t="n"/>
      <c r="D50" s="19" t="n"/>
      <c r="E50" s="19" t="n"/>
      <c r="F50" s="17" t="n"/>
      <c r="G50" s="17" t="n"/>
      <c r="H50" s="17" t="n"/>
      <c r="I50" s="17" t="n"/>
    </row>
    <row r="51">
      <c r="A51" s="17" t="n">
        <v>50</v>
      </c>
      <c r="B51" s="18" t="n"/>
      <c r="C51" s="17" t="n"/>
      <c r="D51" s="19" t="n"/>
      <c r="E51" s="19" t="n"/>
      <c r="F51" s="17" t="n"/>
      <c r="G51" s="17" t="n"/>
      <c r="H51" s="17" t="n"/>
      <c r="I51" s="17" t="n"/>
    </row>
    <row r="52">
      <c r="A52" s="17" t="n">
        <v>51</v>
      </c>
      <c r="B52" s="18" t="n"/>
      <c r="C52" s="17" t="n"/>
      <c r="D52" s="19" t="n"/>
      <c r="E52" s="19" t="n"/>
      <c r="F52" s="17" t="n"/>
      <c r="G52" s="17" t="n"/>
      <c r="H52" s="17" t="n"/>
      <c r="I52" s="17" t="n"/>
    </row>
    <row r="53">
      <c r="A53" s="17" t="n">
        <v>52</v>
      </c>
      <c r="B53" s="18" t="n"/>
      <c r="C53" s="17" t="n"/>
      <c r="D53" s="19" t="n"/>
      <c r="E53" s="19" t="n"/>
      <c r="F53" s="17" t="n"/>
      <c r="G53" s="17" t="n"/>
      <c r="H53" s="17" t="n"/>
      <c r="I53" s="17" t="n"/>
    </row>
    <row r="54">
      <c r="A54" s="17" t="n">
        <v>53</v>
      </c>
      <c r="B54" s="18" t="n"/>
      <c r="C54" s="17" t="n"/>
      <c r="D54" s="19" t="n"/>
      <c r="E54" s="19" t="n"/>
      <c r="F54" s="17" t="n"/>
      <c r="G54" s="17" t="n"/>
      <c r="H54" s="17" t="n"/>
      <c r="I54" s="17" t="n"/>
    </row>
    <row r="55">
      <c r="A55" s="17" t="n">
        <v>54</v>
      </c>
      <c r="B55" s="18" t="n"/>
      <c r="C55" s="17" t="n"/>
      <c r="D55" s="19" t="n"/>
      <c r="E55" s="19" t="n"/>
      <c r="F55" s="17" t="n"/>
      <c r="G55" s="17" t="n"/>
      <c r="H55" s="17" t="n"/>
      <c r="I55" s="17" t="n"/>
    </row>
    <row r="56">
      <c r="A56" s="17" t="n">
        <v>55</v>
      </c>
      <c r="B56" s="18" t="n"/>
      <c r="C56" s="17" t="n"/>
      <c r="D56" s="19" t="n"/>
      <c r="E56" s="19" t="n"/>
      <c r="F56" s="17" t="n"/>
      <c r="G56" s="17" t="n"/>
      <c r="H56" s="17" t="n"/>
      <c r="I56" s="17" t="n"/>
    </row>
    <row r="57">
      <c r="A57" s="17" t="n">
        <v>56</v>
      </c>
      <c r="B57" s="18" t="n"/>
      <c r="C57" s="17" t="n"/>
      <c r="D57" s="19" t="n"/>
      <c r="E57" s="19" t="n"/>
      <c r="F57" s="17" t="n"/>
      <c r="G57" s="17" t="n"/>
      <c r="H57" s="17" t="n"/>
      <c r="I57" s="17" t="n"/>
    </row>
    <row r="58">
      <c r="A58" s="17" t="n">
        <v>57</v>
      </c>
      <c r="B58" s="18" t="n"/>
      <c r="C58" s="17" t="n"/>
      <c r="D58" s="19" t="n"/>
      <c r="E58" s="19" t="n"/>
      <c r="F58" s="17" t="n"/>
      <c r="G58" s="17" t="n"/>
      <c r="H58" s="17" t="n"/>
      <c r="I58" s="17" t="n"/>
    </row>
    <row r="59">
      <c r="A59" s="17" t="n">
        <v>58</v>
      </c>
      <c r="B59" s="18" t="n"/>
      <c r="C59" s="17" t="n"/>
      <c r="D59" s="19" t="n"/>
      <c r="E59" s="19" t="n"/>
      <c r="F59" s="17" t="n"/>
      <c r="G59" s="17" t="n"/>
      <c r="H59" s="17" t="n"/>
      <c r="I59" s="17" t="n"/>
    </row>
    <row r="60">
      <c r="A60" s="17" t="n">
        <v>59</v>
      </c>
      <c r="B60" s="18" t="n"/>
      <c r="C60" s="17" t="n"/>
      <c r="D60" s="19" t="n"/>
      <c r="E60" s="19" t="n"/>
      <c r="F60" s="17" t="n"/>
      <c r="G60" s="17" t="n"/>
      <c r="H60" s="17" t="n"/>
      <c r="I60" s="17" t="n"/>
    </row>
    <row r="61">
      <c r="A61" s="17" t="n">
        <v>60</v>
      </c>
      <c r="B61" s="18" t="n"/>
      <c r="C61" s="17" t="n"/>
      <c r="D61" s="19" t="n"/>
      <c r="E61" s="19" t="n"/>
      <c r="F61" s="17" t="n"/>
      <c r="G61" s="17" t="n"/>
      <c r="H61" s="17" t="n"/>
      <c r="I61" s="17" t="n"/>
    </row>
  </sheetData>
  <conditionalFormatting sqref="I2:I61">
    <cfRule type="cellIs" priority="1" operator="equal" dxfId="2">
      <formula>"أُغلق"</formula>
    </cfRule>
    <cfRule type="cellIs" priority="2" operator="equal" dxfId="3">
      <formula>"مفتوح"</formula>
    </cfRule>
  </conditionalFormatting>
  <dataValidations count="2">
    <dataValidation sqref="H2:H61" showDropDown="0" showInputMessage="0" showErrorMessage="0" allowBlank="1" type="list">
      <formula1>"الحالي,الجديد,الاثنان,لا أحد (تقريب)"</formula1>
    </dataValidation>
    <dataValidation sqref="I2:I61" showDropDown="0" showInputMessage="0" showErrorMessage="0" allowBlank="1" type="list">
      <formula1>"مفتوح,قيد المعالجة,أُغلق"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3" t="inlineStr">
        <is>
          <t>قرار الأسبوع</t>
        </is>
      </c>
    </row>
    <row r="3" ht="34" customHeight="1">
      <c r="A3" s="20" t="inlineStr">
        <is>
          <t>رقم الأسبوع (1–4)</t>
        </is>
      </c>
      <c r="B3" s="21" t="n"/>
    </row>
    <row r="4" ht="34" customHeight="1">
      <c r="A4" s="20" t="inlineStr">
        <is>
          <t>تاريخ الاجتماع</t>
        </is>
      </c>
      <c r="B4" s="21" t="n"/>
    </row>
    <row r="5" ht="34" customHeight="1">
      <c r="A5" s="20" t="inlineStr">
        <is>
          <t>الحاضرون</t>
        </is>
      </c>
      <c r="B5" s="21" t="n"/>
    </row>
    <row r="6" ht="34" customHeight="1">
      <c r="A6" s="20" t="inlineStr">
        <is>
          <t>عدد السطور المختلفة هذا الأسبوع</t>
        </is>
      </c>
      <c r="B6" s="21" t="n"/>
    </row>
    <row r="7" ht="34" customHeight="1">
      <c r="A7" s="20" t="inlineStr">
        <is>
          <t>هل كل فرق له سبب مسجّل؟</t>
        </is>
      </c>
      <c r="B7" s="21" t="n"/>
    </row>
    <row r="8" ht="34" customHeight="1">
      <c r="A8" s="20" t="inlineStr">
        <is>
          <t>هل تبطأ الصفحات؟ (1–5)</t>
        </is>
      </c>
      <c r="B8" s="21" t="n"/>
    </row>
    <row r="9" ht="34" customHeight="1">
      <c r="A9" s="20" t="inlineStr">
        <is>
          <t>هل حدثت أخطاء أو توقفات؟ اشرحها</t>
        </is>
      </c>
      <c r="B9" s="21" t="n"/>
    </row>
    <row r="10" ht="34" customHeight="1">
      <c r="A10" s="20" t="inlineStr">
        <is>
          <t>هل النسخ الاحتياطي سليم طوال الأسبوع؟ (/health)</t>
        </is>
      </c>
      <c r="B10" s="21" t="n"/>
    </row>
    <row r="11" ht="34" customHeight="1">
      <c r="A11" s="20" t="inlineStr">
        <is>
          <t>ما الذي يجب إصلاحه قبل الأسبوع القادم؟</t>
        </is>
      </c>
      <c r="B11" s="21" t="n"/>
    </row>
    <row r="12" ht="34" customHeight="1">
      <c r="A12" s="20" t="inlineStr">
        <is>
          <t>القرار: نستمر / نمدّد / نوقف</t>
        </is>
      </c>
      <c r="B12" s="21" t="n"/>
    </row>
    <row r="13" ht="34" customHeight="1">
      <c r="A13" s="20" t="inlineStr">
        <is>
          <t>ملاحظات</t>
        </is>
      </c>
      <c r="B13" s="21" t="n"/>
    </row>
  </sheetData>
  <dataValidations count="2">
    <dataValidation sqref="B12" showDropDown="0" showInputMessage="0" showErrorMessage="0" allowBlank="1" type="list">
      <formula1>"نستمر,نمدّد,نوقف"</formula1>
    </dataValidation>
    <dataValidation sqref="B7 B1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2026-10-31T10:53:11Z</dcterms:created>
  <dcterms:modified xmlns:dcterms="http://purl.org/dc/terms/" xmlns:xsi="http://www.w3.org/2001/XMLSchema-instance" xsi:type="dcterms:W3CDTF">2026-10-31T10:53:11Z</dcterms:modified>
</cp:coreProperties>
</file>